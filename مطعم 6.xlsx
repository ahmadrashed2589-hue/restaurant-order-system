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9" fillId="4" borderId="6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rightToLeft="1" tabSelected="1" zoomScale="61" workbookViewId="0">
      <selection activeCell="C35" sqref="C35"/>
    </sheetView>
  </sheetViews>
  <sheetFormatPr baseColWidth="8" defaultRowHeight="14.4"/>
  <cols>
    <col width="12.5546875" customWidth="1" min="2" max="2"/>
  </cols>
  <sheetData>
    <row r="1">
      <c r="A1" s="6" t="inlineStr">
        <is>
          <t>مطعم 6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2" t="inlineStr">
        <is>
          <t>Saturday</t>
        </is>
      </c>
      <c r="B4" s="11" t="n">
        <v>45962</v>
      </c>
      <c r="C4" s="13" t="n">
        <v>0</v>
      </c>
      <c r="E4" s="13" t="n">
        <v>0</v>
      </c>
      <c r="F4" s="14" t="n">
        <v>0</v>
      </c>
      <c r="G4" s="13" t="n">
        <v>0</v>
      </c>
      <c r="H4" s="14" t="n">
        <v>55</v>
      </c>
      <c r="I4" s="13" t="n"/>
      <c r="J4" s="14">
        <f>I4*7.25</f>
        <v/>
      </c>
      <c r="K4" s="13" t="n">
        <v>0</v>
      </c>
      <c r="L4" s="14">
        <f>K4*9.25</f>
        <v/>
      </c>
      <c r="M4" s="16" t="n">
        <v>0</v>
      </c>
      <c r="N4" s="14">
        <f>M4*12</f>
        <v/>
      </c>
      <c r="O4" s="16" t="n">
        <v>0</v>
      </c>
      <c r="P4" s="14">
        <f>O4*0</f>
        <v/>
      </c>
      <c r="Q4" s="17" t="n">
        <v>0</v>
      </c>
      <c r="R4" s="14">
        <f>Q4*3.65</f>
        <v/>
      </c>
      <c r="S4" s="17" t="n">
        <v>0</v>
      </c>
      <c r="T4" s="14">
        <f>S4*3.4</f>
        <v/>
      </c>
    </row>
    <row r="5">
      <c r="A5" s="12" t="inlineStr">
        <is>
          <t>Sunday</t>
        </is>
      </c>
      <c r="B5" s="11" t="n">
        <v>45963</v>
      </c>
      <c r="C5" s="15" t="n">
        <v>0</v>
      </c>
      <c r="E5" s="15" t="n">
        <v>0</v>
      </c>
      <c r="F5" s="14">
        <f>E5*3.3</f>
        <v/>
      </c>
      <c r="G5" s="13" t="n">
        <v>0</v>
      </c>
      <c r="H5" s="14">
        <f>G5*1.75</f>
        <v/>
      </c>
      <c r="I5" s="13" t="n">
        <v>0</v>
      </c>
      <c r="J5" s="14">
        <f>I5*12</f>
        <v/>
      </c>
      <c r="K5" s="13" t="n">
        <v>0</v>
      </c>
      <c r="L5" s="14">
        <f>K5*9.25</f>
        <v/>
      </c>
      <c r="M5" s="16" t="n">
        <v>0</v>
      </c>
      <c r="N5" s="14">
        <f>M5*12</f>
        <v/>
      </c>
      <c r="O5" s="16" t="n">
        <v>0</v>
      </c>
      <c r="P5" s="14">
        <f>O5*0</f>
        <v/>
      </c>
      <c r="Q5" s="17" t="n">
        <v>0</v>
      </c>
      <c r="R5" s="14">
        <f>Q5*3.65</f>
        <v/>
      </c>
      <c r="S5" s="17" t="n">
        <v>0</v>
      </c>
      <c r="T5" s="14">
        <f>S5*3.4</f>
        <v/>
      </c>
    </row>
    <row r="6">
      <c r="A6" s="12" t="inlineStr">
        <is>
          <t>Monday</t>
        </is>
      </c>
      <c r="B6" s="11" t="n">
        <v>45964</v>
      </c>
      <c r="C6" s="15" t="n">
        <v>0</v>
      </c>
      <c r="E6" s="15" t="n">
        <v>0</v>
      </c>
      <c r="F6" s="14">
        <f>E6*3.3</f>
        <v/>
      </c>
      <c r="G6" s="13" t="n">
        <v>0</v>
      </c>
      <c r="H6" s="14">
        <f>G6*1.75</f>
        <v/>
      </c>
      <c r="I6" s="13" t="n">
        <v>0</v>
      </c>
      <c r="J6" s="14">
        <f>I6*12</f>
        <v/>
      </c>
      <c r="K6" s="13" t="n">
        <v>0</v>
      </c>
      <c r="L6" s="14">
        <f>K6*9.25</f>
        <v/>
      </c>
      <c r="M6" s="16" t="n">
        <v>0</v>
      </c>
      <c r="N6" s="14">
        <f>M6*12</f>
        <v/>
      </c>
      <c r="O6" s="16" t="n">
        <v>0</v>
      </c>
      <c r="P6" s="14">
        <f>O6*0.5</f>
        <v/>
      </c>
      <c r="Q6" s="17" t="n">
        <v>0</v>
      </c>
      <c r="R6" s="14">
        <f>Q6*3.65</f>
        <v/>
      </c>
      <c r="S6" s="17" t="n">
        <v>0</v>
      </c>
      <c r="T6" s="14">
        <f>S6*3.4</f>
        <v/>
      </c>
    </row>
    <row r="7">
      <c r="A7" s="12" t="inlineStr">
        <is>
          <t>Tuesday</t>
        </is>
      </c>
      <c r="B7" s="11" t="n">
        <v>45965</v>
      </c>
      <c r="C7" s="15" t="n">
        <v>0</v>
      </c>
      <c r="E7" s="15" t="n">
        <v>0</v>
      </c>
      <c r="F7" s="14">
        <f>E7*3.3</f>
        <v/>
      </c>
      <c r="G7" s="13" t="n">
        <v>0</v>
      </c>
      <c r="H7" s="14">
        <f>G7*1.75</f>
        <v/>
      </c>
      <c r="I7" s="13" t="n">
        <v>0</v>
      </c>
      <c r="J7" s="14">
        <f>I7*12</f>
        <v/>
      </c>
      <c r="K7" s="13" t="n">
        <v>0</v>
      </c>
      <c r="L7" s="14">
        <f>K7*9.25</f>
        <v/>
      </c>
      <c r="M7" s="16" t="n">
        <v>0</v>
      </c>
      <c r="N7" s="14">
        <f>M7*12</f>
        <v/>
      </c>
      <c r="O7" s="16" t="n">
        <v>0</v>
      </c>
      <c r="P7" s="14">
        <f>O7*0.5</f>
        <v/>
      </c>
      <c r="Q7" s="17" t="n">
        <v>0</v>
      </c>
      <c r="R7" s="14">
        <f>Q7*3.65</f>
        <v/>
      </c>
      <c r="S7" s="17" t="n">
        <v>0</v>
      </c>
      <c r="T7" s="14">
        <f>S7*3.4</f>
        <v/>
      </c>
    </row>
    <row r="8">
      <c r="A8" s="12" t="inlineStr">
        <is>
          <t>Wednesday</t>
        </is>
      </c>
      <c r="B8" s="11" t="n">
        <v>45966</v>
      </c>
      <c r="C8" s="15" t="n">
        <v>0</v>
      </c>
      <c r="E8" s="15" t="n">
        <v>0</v>
      </c>
      <c r="F8" s="14">
        <f>E8*3.3</f>
        <v/>
      </c>
      <c r="G8" s="13" t="n">
        <v>0</v>
      </c>
      <c r="H8" s="14">
        <f>G8*1.75</f>
        <v/>
      </c>
      <c r="I8" s="13" t="n">
        <v>0</v>
      </c>
      <c r="J8" s="14">
        <f>I8*12</f>
        <v/>
      </c>
      <c r="K8" s="13" t="n">
        <v>0</v>
      </c>
      <c r="L8" s="14">
        <f>K8*9.25</f>
        <v/>
      </c>
      <c r="M8" s="16" t="n">
        <v>0</v>
      </c>
      <c r="N8" s="14">
        <f>M8*12</f>
        <v/>
      </c>
      <c r="O8" s="16" t="n">
        <v>0</v>
      </c>
      <c r="P8" s="14">
        <f>O8*0.5</f>
        <v/>
      </c>
      <c r="Q8" s="17" t="n">
        <v>0</v>
      </c>
      <c r="R8" s="14">
        <f>Q8*3.65</f>
        <v/>
      </c>
      <c r="S8" s="17" t="n">
        <v>0</v>
      </c>
      <c r="T8" s="14">
        <f>S8*3.4</f>
        <v/>
      </c>
    </row>
    <row r="9">
      <c r="A9" s="12" t="inlineStr">
        <is>
          <t>Thursday</t>
        </is>
      </c>
      <c r="B9" s="11" t="n">
        <v>45967</v>
      </c>
      <c r="C9" s="15" t="n">
        <v>0</v>
      </c>
      <c r="E9" s="15" t="n">
        <v>0</v>
      </c>
      <c r="F9" s="14">
        <f>E9*3.3</f>
        <v/>
      </c>
      <c r="G9" s="13" t="n">
        <v>0</v>
      </c>
      <c r="H9" s="14">
        <f>G9*1.75</f>
        <v/>
      </c>
      <c r="I9" s="13" t="n">
        <v>0</v>
      </c>
      <c r="J9" s="14">
        <f>I9*12</f>
        <v/>
      </c>
      <c r="K9" s="13" t="n">
        <v>0</v>
      </c>
      <c r="L9" s="14">
        <f>K9*9.25</f>
        <v/>
      </c>
      <c r="M9" s="16" t="n">
        <v>0</v>
      </c>
      <c r="N9" s="14">
        <f>M9*12</f>
        <v/>
      </c>
      <c r="O9" s="16" t="n">
        <v>0</v>
      </c>
      <c r="P9" s="14">
        <f>O9*0.5</f>
        <v/>
      </c>
      <c r="Q9" s="17" t="n">
        <v>0</v>
      </c>
      <c r="R9" s="14">
        <f>Q9*3.65</f>
        <v/>
      </c>
      <c r="S9" s="17" t="n">
        <v>0</v>
      </c>
      <c r="T9" s="14">
        <f>S9*3.4</f>
        <v/>
      </c>
    </row>
    <row r="10">
      <c r="A10" s="12" t="inlineStr">
        <is>
          <t>Friday</t>
        </is>
      </c>
      <c r="B10" s="11" t="n">
        <v>45968</v>
      </c>
      <c r="C10" s="15" t="n">
        <v>0</v>
      </c>
      <c r="E10" s="15" t="n">
        <v>0</v>
      </c>
      <c r="F10" s="14">
        <f>E10*3.3</f>
        <v/>
      </c>
      <c r="G10" s="13" t="n">
        <v>0</v>
      </c>
      <c r="H10" s="14">
        <f>G10*1.75</f>
        <v/>
      </c>
      <c r="I10" s="13" t="n">
        <v>0</v>
      </c>
      <c r="J10" s="14">
        <f>I10*12</f>
        <v/>
      </c>
      <c r="K10" s="13" t="n">
        <v>0</v>
      </c>
      <c r="L10" s="14">
        <f>K10*9.25</f>
        <v/>
      </c>
      <c r="M10" s="16" t="n">
        <v>0</v>
      </c>
      <c r="N10" s="14">
        <f>M10*12</f>
        <v/>
      </c>
      <c r="O10" s="16" t="n">
        <v>0</v>
      </c>
      <c r="P10" s="14">
        <f>O10*0.5</f>
        <v/>
      </c>
      <c r="Q10" s="17" t="n">
        <v>0</v>
      </c>
      <c r="R10" s="14">
        <f>Q10*3.65</f>
        <v/>
      </c>
      <c r="S10" s="17" t="n">
        <v>0</v>
      </c>
      <c r="T10" s="14">
        <f>S10*3.4</f>
        <v/>
      </c>
    </row>
    <row r="11">
      <c r="A11" s="12" t="inlineStr">
        <is>
          <t>Saturday</t>
        </is>
      </c>
      <c r="B11" s="11" t="n">
        <v>45969</v>
      </c>
      <c r="C11" s="15" t="n">
        <v>0</v>
      </c>
      <c r="E11" s="15" t="n">
        <v>0</v>
      </c>
      <c r="F11" s="14">
        <f>E11*3.3</f>
        <v/>
      </c>
      <c r="G11" s="13" t="n">
        <v>0</v>
      </c>
      <c r="H11" s="14">
        <f>G11*1.75</f>
        <v/>
      </c>
      <c r="I11" s="13" t="n">
        <v>0</v>
      </c>
      <c r="J11" s="14">
        <f>I11*12</f>
        <v/>
      </c>
      <c r="K11" s="13" t="n">
        <v>0</v>
      </c>
      <c r="L11" s="14">
        <f>K11*9.25</f>
        <v/>
      </c>
      <c r="M11" s="16" t="n">
        <v>0</v>
      </c>
      <c r="N11" s="14">
        <f>M11*12</f>
        <v/>
      </c>
      <c r="O11" s="16" t="n">
        <v>0</v>
      </c>
      <c r="P11" s="14">
        <f>O11*0.5</f>
        <v/>
      </c>
      <c r="Q11" s="17" t="n">
        <v>0</v>
      </c>
      <c r="R11" s="14">
        <f>Q11*3.65</f>
        <v/>
      </c>
      <c r="S11" s="17" t="n">
        <v>0</v>
      </c>
      <c r="T11" s="14">
        <f>S11*3.4</f>
        <v/>
      </c>
    </row>
    <row r="12">
      <c r="A12" s="12" t="inlineStr">
        <is>
          <t>Sunday</t>
        </is>
      </c>
      <c r="B12" s="11" t="n">
        <v>45970</v>
      </c>
      <c r="C12" s="15" t="n">
        <v>0</v>
      </c>
      <c r="E12" s="15" t="n">
        <v>0</v>
      </c>
      <c r="F12" s="14">
        <f>E12*3.3</f>
        <v/>
      </c>
      <c r="G12" s="13" t="n">
        <v>0</v>
      </c>
      <c r="H12" s="14">
        <f>G12*1.75</f>
        <v/>
      </c>
      <c r="I12" s="13" t="n">
        <v>0</v>
      </c>
      <c r="J12" s="14">
        <f>I12*12</f>
        <v/>
      </c>
      <c r="K12" s="13" t="n">
        <v>0</v>
      </c>
      <c r="L12" s="14">
        <f>K12*9.25</f>
        <v/>
      </c>
      <c r="M12" s="16" t="n">
        <v>0</v>
      </c>
      <c r="N12" s="14">
        <f>M12*12</f>
        <v/>
      </c>
      <c r="O12" s="16" t="n">
        <v>0</v>
      </c>
      <c r="P12" s="14">
        <f>O12*0.5</f>
        <v/>
      </c>
      <c r="Q12" s="17" t="n">
        <v>0</v>
      </c>
      <c r="R12" s="14">
        <f>Q12*3.65</f>
        <v/>
      </c>
      <c r="S12" s="17" t="n">
        <v>0</v>
      </c>
      <c r="T12" s="14">
        <f>S12*3.4</f>
        <v/>
      </c>
    </row>
    <row r="13">
      <c r="A13" s="12" t="inlineStr">
        <is>
          <t>Monday</t>
        </is>
      </c>
      <c r="B13" s="11" t="n">
        <v>45971</v>
      </c>
      <c r="C13" s="15" t="n">
        <v>0</v>
      </c>
      <c r="E13" s="15" t="n">
        <v>0</v>
      </c>
      <c r="F13" s="14">
        <f>E13*3.3</f>
        <v/>
      </c>
      <c r="G13" s="13" t="n">
        <v>0</v>
      </c>
      <c r="H13" s="14">
        <f>G13*1.75</f>
        <v/>
      </c>
      <c r="I13" s="13" t="n">
        <v>0</v>
      </c>
      <c r="J13" s="14">
        <f>I13*12</f>
        <v/>
      </c>
      <c r="K13" s="13" t="n">
        <v>0</v>
      </c>
      <c r="L13" s="14">
        <f>K13*9.25</f>
        <v/>
      </c>
      <c r="M13" s="16" t="n">
        <v>0</v>
      </c>
      <c r="N13" s="14">
        <f>M13*12</f>
        <v/>
      </c>
      <c r="O13" s="16" t="n">
        <v>0</v>
      </c>
      <c r="P13" s="14">
        <f>O13*0.5</f>
        <v/>
      </c>
      <c r="Q13" s="17" t="n">
        <v>0</v>
      </c>
      <c r="R13" s="14">
        <f>Q13*3.65</f>
        <v/>
      </c>
      <c r="S13" s="17" t="n">
        <v>0</v>
      </c>
      <c r="T13" s="14">
        <f>S13*3.4</f>
        <v/>
      </c>
    </row>
    <row r="14">
      <c r="A14" s="12" t="inlineStr">
        <is>
          <t>Tuesday</t>
        </is>
      </c>
      <c r="B14" s="11" t="n">
        <v>45972</v>
      </c>
      <c r="C14" s="15" t="n">
        <v>0</v>
      </c>
      <c r="E14" s="15" t="n">
        <v>0</v>
      </c>
      <c r="F14" s="14">
        <f>E14*3.3</f>
        <v/>
      </c>
      <c r="G14" s="13" t="n">
        <v>0</v>
      </c>
      <c r="H14" s="14">
        <f>G14*1.75</f>
        <v/>
      </c>
      <c r="I14" s="13" t="n">
        <v>0</v>
      </c>
      <c r="J14" s="14">
        <f>I14*12</f>
        <v/>
      </c>
      <c r="K14" s="13" t="n">
        <v>0</v>
      </c>
      <c r="L14" s="14">
        <f>K14*9.25</f>
        <v/>
      </c>
      <c r="M14" s="16" t="n">
        <v>0</v>
      </c>
      <c r="N14" s="14">
        <f>M14*12</f>
        <v/>
      </c>
      <c r="O14" s="16" t="n">
        <v>0</v>
      </c>
      <c r="P14" s="14">
        <f>O14*0.5</f>
        <v/>
      </c>
      <c r="Q14" s="17" t="n">
        <v>0</v>
      </c>
      <c r="R14" s="14">
        <f>Q14*3.65</f>
        <v/>
      </c>
      <c r="S14" s="17" t="n">
        <v>0</v>
      </c>
      <c r="T14" s="14">
        <f>S14*3.4</f>
        <v/>
      </c>
    </row>
    <row r="15">
      <c r="A15" s="12" t="inlineStr">
        <is>
          <t>Wednesday</t>
        </is>
      </c>
      <c r="B15" s="11" t="n">
        <v>45973</v>
      </c>
      <c r="C15" s="15" t="n">
        <v>0</v>
      </c>
      <c r="E15" s="15" t="n">
        <v>0</v>
      </c>
      <c r="F15" s="14">
        <f>E15*3.3</f>
        <v/>
      </c>
      <c r="G15" s="13" t="n">
        <v>0</v>
      </c>
      <c r="H15" s="14">
        <f>G15*1.75</f>
        <v/>
      </c>
      <c r="I15" s="13" t="n">
        <v>0</v>
      </c>
      <c r="J15" s="14">
        <f>I15*12</f>
        <v/>
      </c>
      <c r="K15" s="13" t="n">
        <v>0</v>
      </c>
      <c r="L15" s="14">
        <f>K15*9.25</f>
        <v/>
      </c>
      <c r="M15" s="16" t="n">
        <v>0</v>
      </c>
      <c r="N15" s="14">
        <f>M15*12</f>
        <v/>
      </c>
      <c r="O15" s="16" t="n">
        <v>0</v>
      </c>
      <c r="P15" s="14">
        <f>O15*0.5</f>
        <v/>
      </c>
      <c r="Q15" s="17" t="n">
        <v>0</v>
      </c>
      <c r="R15" s="14">
        <f>Q15*3.65</f>
        <v/>
      </c>
      <c r="S15" s="17" t="n">
        <v>0</v>
      </c>
      <c r="T15" s="14">
        <f>S15*3.4</f>
        <v/>
      </c>
    </row>
    <row r="16">
      <c r="A16" s="12" t="inlineStr">
        <is>
          <t>Thursday</t>
        </is>
      </c>
      <c r="B16" s="11" t="n">
        <v>45974</v>
      </c>
      <c r="C16" s="15" t="n">
        <v>0</v>
      </c>
      <c r="E16" s="15" t="n">
        <v>0</v>
      </c>
      <c r="F16" s="14">
        <f>E16*3.3</f>
        <v/>
      </c>
      <c r="G16" s="13" t="n">
        <v>0</v>
      </c>
      <c r="H16" s="14">
        <f>G16*1.75</f>
        <v/>
      </c>
      <c r="I16" s="13" t="n">
        <v>0</v>
      </c>
      <c r="J16" s="14">
        <f>I16*12</f>
        <v/>
      </c>
      <c r="K16" s="13" t="n">
        <v>0</v>
      </c>
      <c r="L16" s="14">
        <f>K16*9.25</f>
        <v/>
      </c>
      <c r="M16" s="16" t="n">
        <v>0</v>
      </c>
      <c r="N16" s="14">
        <f>M16*12</f>
        <v/>
      </c>
      <c r="O16" s="16" t="n">
        <v>0</v>
      </c>
      <c r="P16" s="14">
        <f>O16*0.5</f>
        <v/>
      </c>
      <c r="Q16" s="17" t="n">
        <v>0</v>
      </c>
      <c r="R16" s="14">
        <f>Q16*3.65</f>
        <v/>
      </c>
      <c r="S16" s="17" t="n">
        <v>0</v>
      </c>
      <c r="T16" s="14">
        <f>S16*3.4</f>
        <v/>
      </c>
    </row>
    <row r="17">
      <c r="A17" s="12" t="inlineStr">
        <is>
          <t>Friday</t>
        </is>
      </c>
      <c r="B17" s="11" t="n">
        <v>45975</v>
      </c>
      <c r="C17" s="15" t="n">
        <v>0</v>
      </c>
      <c r="E17" s="15" t="n">
        <v>0</v>
      </c>
      <c r="F17" s="14">
        <f>E17*3.3</f>
        <v/>
      </c>
      <c r="G17" s="13" t="n">
        <v>0</v>
      </c>
      <c r="H17" s="14">
        <f>G17*1.75</f>
        <v/>
      </c>
      <c r="I17" s="13" t="n">
        <v>0</v>
      </c>
      <c r="J17" s="14">
        <f>I17*12</f>
        <v/>
      </c>
      <c r="K17" s="13" t="n">
        <v>0</v>
      </c>
      <c r="L17" s="14">
        <f>K17*9.25</f>
        <v/>
      </c>
      <c r="M17" s="16" t="n">
        <v>0</v>
      </c>
      <c r="N17" s="14">
        <f>M17*12</f>
        <v/>
      </c>
      <c r="O17" s="16" t="n">
        <v>0</v>
      </c>
      <c r="P17" s="14">
        <f>O17*0.5</f>
        <v/>
      </c>
      <c r="Q17" s="17" t="n">
        <v>0</v>
      </c>
      <c r="R17" s="14">
        <f>Q17*3.65</f>
        <v/>
      </c>
      <c r="S17" s="17" t="n">
        <v>0</v>
      </c>
      <c r="T17" s="14">
        <f>S17*3.4</f>
        <v/>
      </c>
    </row>
    <row r="18">
      <c r="A18" s="12" t="inlineStr">
        <is>
          <t>Saturday</t>
        </is>
      </c>
      <c r="B18" s="11" t="n">
        <v>45976</v>
      </c>
      <c r="C18" s="15" t="n">
        <v>0</v>
      </c>
      <c r="E18" s="15" t="n">
        <v>0</v>
      </c>
      <c r="F18" s="14">
        <f>E18*3.3</f>
        <v/>
      </c>
      <c r="G18" s="13" t="n">
        <v>0</v>
      </c>
      <c r="H18" s="14">
        <f>G18*1.75</f>
        <v/>
      </c>
      <c r="I18" s="13" t="n">
        <v>0</v>
      </c>
      <c r="J18" s="14">
        <f>I18*12</f>
        <v/>
      </c>
      <c r="K18" s="13" t="n">
        <v>0</v>
      </c>
      <c r="L18" s="14">
        <f>K18*9.25</f>
        <v/>
      </c>
      <c r="M18" s="16" t="n">
        <v>0</v>
      </c>
      <c r="N18" s="14">
        <f>M18*12</f>
        <v/>
      </c>
      <c r="O18" s="16" t="n">
        <v>0</v>
      </c>
      <c r="P18" s="14">
        <f>O18*0.5</f>
        <v/>
      </c>
      <c r="Q18" s="17" t="n">
        <v>0</v>
      </c>
      <c r="R18" s="14">
        <f>Q18*3.65</f>
        <v/>
      </c>
      <c r="S18" s="17" t="n">
        <v>0</v>
      </c>
      <c r="T18" s="14">
        <f>S18*3.4</f>
        <v/>
      </c>
    </row>
    <row r="19">
      <c r="A19" s="12" t="inlineStr">
        <is>
          <t>Sunday</t>
        </is>
      </c>
      <c r="B19" s="11" t="n">
        <v>45977</v>
      </c>
      <c r="C19" s="15" t="n">
        <v>0</v>
      </c>
      <c r="E19" s="15" t="n">
        <v>0</v>
      </c>
      <c r="F19" s="14">
        <f>E19*3.3</f>
        <v/>
      </c>
      <c r="G19" s="13" t="n">
        <v>0</v>
      </c>
      <c r="H19" s="14">
        <f>G19*1.75</f>
        <v/>
      </c>
      <c r="I19" s="13" t="n">
        <v>0</v>
      </c>
      <c r="J19" s="14">
        <f>I19*12</f>
        <v/>
      </c>
      <c r="K19" s="13" t="n">
        <v>0</v>
      </c>
      <c r="L19" s="14">
        <f>K19*9.25</f>
        <v/>
      </c>
      <c r="M19" s="16" t="n">
        <v>0</v>
      </c>
      <c r="N19" s="14">
        <f>M19*12</f>
        <v/>
      </c>
      <c r="O19" s="16" t="n">
        <v>0</v>
      </c>
      <c r="P19" s="14">
        <f>O19*0.5</f>
        <v/>
      </c>
      <c r="Q19" s="17" t="n">
        <v>0</v>
      </c>
      <c r="R19" s="14">
        <f>Q19*3.65</f>
        <v/>
      </c>
      <c r="S19" s="17" t="n">
        <v>0</v>
      </c>
      <c r="T19" s="14">
        <f>S19*3.4</f>
        <v/>
      </c>
    </row>
    <row r="20">
      <c r="A20" s="12" t="inlineStr">
        <is>
          <t>Monday</t>
        </is>
      </c>
      <c r="B20" s="11" t="n">
        <v>45978</v>
      </c>
      <c r="C20" s="15" t="n">
        <v>0</v>
      </c>
      <c r="E20" s="15" t="n">
        <v>0</v>
      </c>
      <c r="F20" s="14">
        <f>E20*3.3</f>
        <v/>
      </c>
      <c r="G20" s="13" t="n">
        <v>0</v>
      </c>
      <c r="H20" s="14">
        <f>G20*1.75</f>
        <v/>
      </c>
      <c r="I20" s="13" t="n">
        <v>0</v>
      </c>
      <c r="J20" s="14">
        <f>I20*12</f>
        <v/>
      </c>
      <c r="K20" s="13" t="n">
        <v>0</v>
      </c>
      <c r="L20" s="14">
        <f>K20*9.25</f>
        <v/>
      </c>
      <c r="M20" s="16" t="n">
        <v>0</v>
      </c>
      <c r="N20" s="14">
        <f>M20*12</f>
        <v/>
      </c>
      <c r="O20" s="16" t="n">
        <v>0</v>
      </c>
      <c r="P20" s="14">
        <f>O20*0.5</f>
        <v/>
      </c>
      <c r="Q20" s="17" t="n">
        <v>0</v>
      </c>
      <c r="R20" s="14">
        <f>Q20*3.65</f>
        <v/>
      </c>
      <c r="S20" s="17" t="n">
        <v>0</v>
      </c>
      <c r="T20" s="14">
        <f>S20*3.4</f>
        <v/>
      </c>
    </row>
    <row r="21">
      <c r="A21" s="12" t="inlineStr">
        <is>
          <t>Tuesday</t>
        </is>
      </c>
      <c r="B21" s="11" t="n">
        <v>45979</v>
      </c>
      <c r="C21" s="15" t="n">
        <v>0</v>
      </c>
      <c r="E21" s="15" t="n">
        <v>0</v>
      </c>
      <c r="F21" s="14">
        <f>E21*3.3</f>
        <v/>
      </c>
      <c r="G21" s="13" t="n">
        <v>0</v>
      </c>
      <c r="H21" s="14">
        <f>G21*1.75</f>
        <v/>
      </c>
      <c r="I21" s="13" t="n">
        <v>0</v>
      </c>
      <c r="J21" s="14">
        <f>I21*12</f>
        <v/>
      </c>
      <c r="K21" s="13" t="n">
        <v>0</v>
      </c>
      <c r="L21" s="14">
        <f>K21*9.25</f>
        <v/>
      </c>
      <c r="M21" s="16" t="n">
        <v>0</v>
      </c>
      <c r="N21" s="14">
        <f>M21*12</f>
        <v/>
      </c>
      <c r="O21" s="16" t="n">
        <v>0</v>
      </c>
      <c r="P21" s="14">
        <f>O21*0.5</f>
        <v/>
      </c>
      <c r="Q21" s="17" t="n">
        <v>0</v>
      </c>
      <c r="R21" s="14">
        <f>Q21*3</f>
        <v/>
      </c>
      <c r="S21" s="17" t="n">
        <v>0</v>
      </c>
      <c r="T21" s="14">
        <f>S21*3.4</f>
        <v/>
      </c>
    </row>
    <row r="22">
      <c r="A22" s="12" t="inlineStr">
        <is>
          <t>Wednesday</t>
        </is>
      </c>
      <c r="B22" s="11" t="n">
        <v>45980</v>
      </c>
      <c r="C22" s="15" t="n">
        <v>0</v>
      </c>
      <c r="E22" s="15" t="n">
        <v>0</v>
      </c>
      <c r="F22" s="14">
        <f>E22*3.3</f>
        <v/>
      </c>
      <c r="G22" s="13" t="n">
        <v>0</v>
      </c>
      <c r="H22" s="14">
        <f>G22*1.75</f>
        <v/>
      </c>
      <c r="I22" s="13" t="n">
        <v>0</v>
      </c>
      <c r="J22" s="14">
        <f>I22*12</f>
        <v/>
      </c>
      <c r="K22" s="13" t="n">
        <v>0</v>
      </c>
      <c r="L22" s="14">
        <f>K22*9.25</f>
        <v/>
      </c>
      <c r="M22" s="16" t="n">
        <v>0</v>
      </c>
      <c r="N22" s="14">
        <f>M22*12</f>
        <v/>
      </c>
      <c r="O22" s="16" t="n">
        <v>0</v>
      </c>
      <c r="P22" s="14">
        <f>O22*0.5</f>
        <v/>
      </c>
      <c r="Q22" s="17" t="n">
        <v>0</v>
      </c>
      <c r="R22" s="14">
        <f>Q22*3</f>
        <v/>
      </c>
      <c r="S22" s="17" t="n">
        <v>0</v>
      </c>
      <c r="T22" s="14">
        <f>S22*3.4</f>
        <v/>
      </c>
    </row>
    <row r="23">
      <c r="A23" s="12" t="inlineStr">
        <is>
          <t>Thursday</t>
        </is>
      </c>
      <c r="B23" s="11" t="n">
        <v>45981</v>
      </c>
      <c r="C23" s="15" t="n">
        <v>0</v>
      </c>
      <c r="E23" s="15" t="n">
        <v>0</v>
      </c>
      <c r="F23" s="14">
        <f>E23*3.3</f>
        <v/>
      </c>
      <c r="G23" s="13" t="n">
        <v>0</v>
      </c>
      <c r="H23" s="14">
        <f>G23*1.75</f>
        <v/>
      </c>
      <c r="I23" s="13" t="n">
        <v>0</v>
      </c>
      <c r="J23" s="14">
        <f>I23*12</f>
        <v/>
      </c>
      <c r="K23" s="13" t="n">
        <v>0</v>
      </c>
      <c r="L23" s="14">
        <f>K23*9.25</f>
        <v/>
      </c>
      <c r="M23" s="16" t="n">
        <v>0</v>
      </c>
      <c r="N23" s="14">
        <f>M23*12</f>
        <v/>
      </c>
      <c r="O23" s="16" t="n">
        <v>0</v>
      </c>
      <c r="P23" s="14">
        <f>O23*0.5</f>
        <v/>
      </c>
      <c r="Q23" s="17" t="n">
        <v>0</v>
      </c>
      <c r="R23" s="14">
        <f>Q23*3</f>
        <v/>
      </c>
      <c r="S23" s="17" t="n">
        <v>0</v>
      </c>
      <c r="T23" s="14">
        <f>S23*3.4</f>
        <v/>
      </c>
    </row>
    <row r="24">
      <c r="A24" s="12" t="inlineStr">
        <is>
          <t>Friday</t>
        </is>
      </c>
      <c r="B24" s="11" t="n">
        <v>45982</v>
      </c>
      <c r="C24" s="15" t="n">
        <v>0</v>
      </c>
      <c r="E24" s="15" t="n">
        <v>0</v>
      </c>
      <c r="F24" s="14">
        <f>E24*3.3</f>
        <v/>
      </c>
      <c r="G24" s="13" t="n">
        <v>0</v>
      </c>
      <c r="H24" s="14">
        <f>G24*1.75</f>
        <v/>
      </c>
      <c r="I24" s="13" t="n">
        <v>0</v>
      </c>
      <c r="J24" s="14">
        <f>I24*12</f>
        <v/>
      </c>
      <c r="K24" s="13" t="n">
        <v>0</v>
      </c>
      <c r="L24" s="14">
        <f>K24*9.25</f>
        <v/>
      </c>
      <c r="M24" s="16" t="n">
        <v>0</v>
      </c>
      <c r="N24" s="14">
        <f>M24*12</f>
        <v/>
      </c>
      <c r="O24" s="16" t="n">
        <v>0</v>
      </c>
      <c r="P24" s="14">
        <f>O24*0.5</f>
        <v/>
      </c>
      <c r="Q24" s="17" t="n">
        <v>0</v>
      </c>
      <c r="R24" s="14">
        <f>Q24*3</f>
        <v/>
      </c>
      <c r="S24" s="17" t="n">
        <v>0</v>
      </c>
      <c r="T24" s="14">
        <f>S24*3.4</f>
        <v/>
      </c>
    </row>
    <row r="25">
      <c r="A25" s="12" t="inlineStr">
        <is>
          <t>Saturday</t>
        </is>
      </c>
      <c r="B25" s="11" t="n">
        <v>45983</v>
      </c>
      <c r="C25" s="15" t="n">
        <v>0</v>
      </c>
      <c r="E25" s="15" t="n">
        <v>0</v>
      </c>
      <c r="F25" s="14">
        <f>E25*3.3</f>
        <v/>
      </c>
      <c r="G25" s="13" t="n">
        <v>0</v>
      </c>
      <c r="H25" s="14">
        <f>G25*1.75</f>
        <v/>
      </c>
      <c r="I25" s="13" t="n">
        <v>0</v>
      </c>
      <c r="J25" s="14">
        <f>I25*12</f>
        <v/>
      </c>
      <c r="K25" s="13" t="n">
        <v>0</v>
      </c>
      <c r="L25" s="14">
        <f>K25*9.25</f>
        <v/>
      </c>
      <c r="M25" s="16" t="n">
        <v>0</v>
      </c>
      <c r="N25" s="14">
        <f>M25*12</f>
        <v/>
      </c>
      <c r="O25" s="16" t="n">
        <v>0</v>
      </c>
      <c r="P25" s="14">
        <f>O25*0.5</f>
        <v/>
      </c>
      <c r="Q25" s="17" t="n">
        <v>0</v>
      </c>
      <c r="R25" s="14">
        <f>Q25*3</f>
        <v/>
      </c>
      <c r="S25" s="17" t="n">
        <v>0</v>
      </c>
      <c r="T25" s="14">
        <f>S25*3.4</f>
        <v/>
      </c>
    </row>
    <row r="26">
      <c r="A26" s="12" t="inlineStr">
        <is>
          <t>Sunday</t>
        </is>
      </c>
      <c r="B26" s="11" t="n">
        <v>45984</v>
      </c>
      <c r="C26" s="15" t="n">
        <v>0</v>
      </c>
      <c r="E26" s="15" t="n">
        <v>0</v>
      </c>
      <c r="F26" s="14">
        <f>E26*3.3</f>
        <v/>
      </c>
      <c r="G26" s="13" t="n">
        <v>0</v>
      </c>
      <c r="H26" s="14">
        <f>G26*1.75</f>
        <v/>
      </c>
      <c r="I26" s="13" t="n">
        <v>0</v>
      </c>
      <c r="J26" s="14">
        <f>I26*12</f>
        <v/>
      </c>
      <c r="K26" s="13" t="n">
        <v>0</v>
      </c>
      <c r="L26" s="14">
        <f>K26*9.25</f>
        <v/>
      </c>
      <c r="M26" s="16" t="n">
        <v>0</v>
      </c>
      <c r="N26" s="14">
        <f>M26*12</f>
        <v/>
      </c>
      <c r="O26" s="16" t="n">
        <v>0</v>
      </c>
      <c r="P26" s="14">
        <f>O26*0.5</f>
        <v/>
      </c>
      <c r="Q26" s="17" t="n">
        <v>0</v>
      </c>
      <c r="R26" s="14">
        <f>Q26*3</f>
        <v/>
      </c>
      <c r="S26" s="17" t="n">
        <v>0</v>
      </c>
      <c r="T26" s="14">
        <f>S26*3.4</f>
        <v/>
      </c>
    </row>
    <row r="27">
      <c r="A27" s="12" t="inlineStr">
        <is>
          <t>Monday</t>
        </is>
      </c>
      <c r="B27" s="11" t="n">
        <v>45985</v>
      </c>
      <c r="C27" s="15" t="n">
        <v>0</v>
      </c>
      <c r="E27" s="15" t="n">
        <v>0</v>
      </c>
      <c r="F27" s="14">
        <f>E27*3.3</f>
        <v/>
      </c>
      <c r="G27" s="13" t="n">
        <v>0</v>
      </c>
      <c r="H27" s="14">
        <f>G27*1.75</f>
        <v/>
      </c>
      <c r="I27" s="13" t="n">
        <v>0</v>
      </c>
      <c r="J27" s="14">
        <f>I27*12</f>
        <v/>
      </c>
      <c r="K27" s="13" t="n">
        <v>0</v>
      </c>
      <c r="L27" s="14">
        <f>K27*9.25</f>
        <v/>
      </c>
      <c r="M27" s="16" t="n">
        <v>0</v>
      </c>
      <c r="N27" s="14">
        <f>M27*12</f>
        <v/>
      </c>
      <c r="O27" s="16" t="n">
        <v>0</v>
      </c>
      <c r="P27" s="14">
        <f>O27*0.5</f>
        <v/>
      </c>
      <c r="Q27" s="17" t="n">
        <v>0</v>
      </c>
      <c r="R27" s="14">
        <f>Q27*3</f>
        <v/>
      </c>
      <c r="S27" s="17" t="n">
        <v>0</v>
      </c>
      <c r="T27" s="14">
        <f>S27*3.4</f>
        <v/>
      </c>
    </row>
    <row r="28">
      <c r="A28" s="12" t="inlineStr">
        <is>
          <t>Tuesday</t>
        </is>
      </c>
      <c r="B28" s="11" t="n">
        <v>45986</v>
      </c>
      <c r="C28" s="15" t="n">
        <v>0</v>
      </c>
      <c r="E28" s="15" t="n">
        <v>0</v>
      </c>
      <c r="F28" s="14">
        <f>E28*3.3</f>
        <v/>
      </c>
      <c r="G28" s="13" t="n">
        <v>0</v>
      </c>
      <c r="H28" s="14">
        <f>G28*1.75</f>
        <v/>
      </c>
      <c r="I28" s="13" t="n">
        <v>0</v>
      </c>
      <c r="J28" s="14">
        <f>I28*12</f>
        <v/>
      </c>
      <c r="K28" s="13" t="n">
        <v>0</v>
      </c>
      <c r="L28" s="14">
        <f>K28*9.25</f>
        <v/>
      </c>
      <c r="M28" s="16" t="n">
        <v>0</v>
      </c>
      <c r="N28" s="14">
        <f>M28*12</f>
        <v/>
      </c>
      <c r="O28" s="16" t="n">
        <v>0</v>
      </c>
      <c r="P28" s="14">
        <f>O28*0.5</f>
        <v/>
      </c>
      <c r="Q28" s="17" t="n">
        <v>0</v>
      </c>
      <c r="R28" s="14">
        <f>Q28*3</f>
        <v/>
      </c>
      <c r="S28" s="17" t="n">
        <v>0</v>
      </c>
      <c r="T28" s="14">
        <f>S28*3.4</f>
        <v/>
      </c>
    </row>
    <row r="29">
      <c r="A29" s="12" t="inlineStr">
        <is>
          <t>Wednesday</t>
        </is>
      </c>
      <c r="B29" s="11" t="n">
        <v>45987</v>
      </c>
      <c r="C29" s="15" t="n">
        <v>0</v>
      </c>
      <c r="E29" s="15" t="n">
        <v>0</v>
      </c>
      <c r="F29" s="14">
        <f>E29*3.3</f>
        <v/>
      </c>
      <c r="G29" s="13" t="n">
        <v>0</v>
      </c>
      <c r="H29" s="14">
        <f>G29*1.75</f>
        <v/>
      </c>
      <c r="I29" s="13" t="n">
        <v>0</v>
      </c>
      <c r="J29" s="14">
        <f>I29*12</f>
        <v/>
      </c>
      <c r="K29" s="13" t="n">
        <v>0</v>
      </c>
      <c r="L29" s="14">
        <f>K29*9.25</f>
        <v/>
      </c>
      <c r="M29" s="16" t="n">
        <v>0</v>
      </c>
      <c r="N29" s="14">
        <f>M29*12</f>
        <v/>
      </c>
      <c r="O29" s="16" t="n">
        <v>0</v>
      </c>
      <c r="P29" s="14">
        <f>O29*0.5</f>
        <v/>
      </c>
      <c r="Q29" s="17" t="n">
        <v>0</v>
      </c>
      <c r="R29" s="14">
        <f>Q29*3</f>
        <v/>
      </c>
      <c r="S29" s="17" t="n">
        <v>0</v>
      </c>
      <c r="T29" s="14">
        <f>S29*3.4</f>
        <v/>
      </c>
    </row>
    <row r="30">
      <c r="A30" s="12" t="inlineStr">
        <is>
          <t>Thursday</t>
        </is>
      </c>
      <c r="B30" s="11" t="n">
        <v>45988</v>
      </c>
      <c r="C30" s="15" t="n">
        <v>0</v>
      </c>
      <c r="E30" s="15" t="n">
        <v>0</v>
      </c>
      <c r="F30" s="14">
        <f>E30*3.3</f>
        <v/>
      </c>
      <c r="G30" s="13" t="n">
        <v>0</v>
      </c>
      <c r="H30" s="14">
        <f>G30*1.75</f>
        <v/>
      </c>
      <c r="I30" s="13" t="n">
        <v>0</v>
      </c>
      <c r="J30" s="14">
        <f>I30*12</f>
        <v/>
      </c>
      <c r="K30" s="13" t="n">
        <v>0</v>
      </c>
      <c r="L30" s="14">
        <f>K30*9.25</f>
        <v/>
      </c>
      <c r="M30" s="16" t="n">
        <v>0</v>
      </c>
      <c r="N30" s="14">
        <f>M30*12</f>
        <v/>
      </c>
      <c r="O30" s="16" t="n">
        <v>0</v>
      </c>
      <c r="P30" s="14">
        <f>O30*0.5</f>
        <v/>
      </c>
      <c r="Q30" s="17" t="n">
        <v>0</v>
      </c>
      <c r="R30" s="14">
        <f>Q30*3</f>
        <v/>
      </c>
      <c r="S30" s="17" t="n">
        <v>0</v>
      </c>
      <c r="T30" s="14">
        <f>S30*3.4</f>
        <v/>
      </c>
    </row>
    <row r="31">
      <c r="A31" s="12" t="inlineStr">
        <is>
          <t>Friday</t>
        </is>
      </c>
      <c r="B31" s="11" t="n">
        <v>45989</v>
      </c>
      <c r="C31" s="15" t="n">
        <v>0</v>
      </c>
      <c r="E31" s="15" t="n">
        <v>0</v>
      </c>
      <c r="F31" s="14">
        <f>E31*3.3</f>
        <v/>
      </c>
      <c r="G31" s="13" t="n">
        <v>0</v>
      </c>
      <c r="H31" s="14">
        <f>G31*1.75</f>
        <v/>
      </c>
      <c r="I31" s="13" t="n">
        <v>0</v>
      </c>
      <c r="J31" s="14">
        <f>I31*12</f>
        <v/>
      </c>
      <c r="K31" s="13" t="n">
        <v>0</v>
      </c>
      <c r="L31" s="14">
        <f>K31*9.25</f>
        <v/>
      </c>
      <c r="M31" s="16" t="n">
        <v>0</v>
      </c>
      <c r="N31" s="14">
        <f>M31*12</f>
        <v/>
      </c>
      <c r="O31" s="16" t="n">
        <v>0</v>
      </c>
      <c r="P31" s="14">
        <f>O31*0.5</f>
        <v/>
      </c>
      <c r="Q31" s="17" t="n">
        <v>0</v>
      </c>
      <c r="R31" s="14">
        <f>Q31*3</f>
        <v/>
      </c>
      <c r="S31" s="17" t="n">
        <v>0</v>
      </c>
      <c r="T31" s="14">
        <f>S31*3.4</f>
        <v/>
      </c>
    </row>
    <row r="32">
      <c r="A32" s="12" t="inlineStr">
        <is>
          <t>Saturday</t>
        </is>
      </c>
      <c r="B32" s="11" t="n">
        <v>45990</v>
      </c>
      <c r="C32" s="15" t="n">
        <v>0</v>
      </c>
      <c r="E32" s="15" t="n">
        <v>0</v>
      </c>
      <c r="F32" s="14">
        <f>E32*3.3</f>
        <v/>
      </c>
      <c r="G32" s="13" t="n">
        <v>0</v>
      </c>
      <c r="H32" s="14">
        <f>G32*1.75</f>
        <v/>
      </c>
      <c r="I32" s="13" t="n">
        <v>0</v>
      </c>
      <c r="J32" s="14">
        <f>I32*12</f>
        <v/>
      </c>
      <c r="K32" s="13" t="n">
        <v>0</v>
      </c>
      <c r="L32" s="14">
        <f>K32*9.25</f>
        <v/>
      </c>
      <c r="M32" s="16" t="n">
        <v>0</v>
      </c>
      <c r="N32" s="14">
        <f>M32*12</f>
        <v/>
      </c>
      <c r="O32" s="16" t="n">
        <v>0</v>
      </c>
      <c r="P32" s="14">
        <f>O32*0.5</f>
        <v/>
      </c>
      <c r="Q32" s="17" t="n">
        <v>0</v>
      </c>
      <c r="R32" s="14">
        <f>Q32*3</f>
        <v/>
      </c>
      <c r="S32" s="17" t="n">
        <v>0</v>
      </c>
      <c r="T32" s="14">
        <f>S32*3.4</f>
        <v/>
      </c>
    </row>
    <row r="33">
      <c r="A33" s="12" t="inlineStr">
        <is>
          <t>Sunday</t>
        </is>
      </c>
      <c r="B33" s="11" t="n">
        <v>45991</v>
      </c>
      <c r="C33" s="15" t="n">
        <v>0</v>
      </c>
      <c r="E33" s="15" t="n">
        <v>0</v>
      </c>
      <c r="F33" s="14">
        <f>E33*3.3</f>
        <v/>
      </c>
      <c r="G33" s="13" t="n">
        <v>0</v>
      </c>
      <c r="H33" s="14">
        <f>G33*1.75</f>
        <v/>
      </c>
      <c r="I33" s="13" t="n">
        <v>0</v>
      </c>
      <c r="J33" s="14">
        <f>I33*12</f>
        <v/>
      </c>
      <c r="K33" s="13" t="n">
        <v>0</v>
      </c>
      <c r="L33" s="14">
        <f>K33*9.25</f>
        <v/>
      </c>
      <c r="M33" s="16" t="n">
        <v>0</v>
      </c>
      <c r="N33" s="14">
        <f>M33*12</f>
        <v/>
      </c>
      <c r="O33" s="16" t="n">
        <v>0</v>
      </c>
      <c r="P33" s="14">
        <f>O33*0.5</f>
        <v/>
      </c>
      <c r="Q33" s="17" t="n">
        <v>0</v>
      </c>
      <c r="R33" s="14">
        <f>Q33*3</f>
        <v/>
      </c>
      <c r="S33" s="17" t="n">
        <v>0</v>
      </c>
      <c r="T33" s="14">
        <f>S33*3.4</f>
        <v/>
      </c>
    </row>
    <row r="34">
      <c r="A34" s="12" t="inlineStr">
        <is>
          <t>Monday</t>
        </is>
      </c>
      <c r="B34" s="11" t="n">
        <v>45992</v>
      </c>
      <c r="C34" s="15" t="n">
        <v>0</v>
      </c>
      <c r="E34" s="15" t="n">
        <v>0</v>
      </c>
      <c r="F34" s="14">
        <f>E34*3.3</f>
        <v/>
      </c>
      <c r="G34" s="13" t="n">
        <v>0</v>
      </c>
      <c r="H34" s="14">
        <f>G34*1.75</f>
        <v/>
      </c>
      <c r="I34" s="13" t="n">
        <v>0</v>
      </c>
      <c r="J34" s="14">
        <f>I34*12</f>
        <v/>
      </c>
      <c r="K34" s="13" t="n">
        <v>0</v>
      </c>
      <c r="L34" s="14">
        <f>K34*9.25</f>
        <v/>
      </c>
      <c r="M34" s="16" t="n">
        <v>0</v>
      </c>
      <c r="N34" s="14">
        <f>M34*12</f>
        <v/>
      </c>
      <c r="O34" s="16" t="n">
        <v>0</v>
      </c>
      <c r="P34" s="14" t="n">
        <v>0</v>
      </c>
      <c r="Q34" s="17" t="n">
        <v>0</v>
      </c>
      <c r="R34" s="14">
        <f>Q34*3</f>
        <v/>
      </c>
      <c r="S34" s="17" t="n">
        <v>0</v>
      </c>
      <c r="T34" s="14">
        <f>S34*3.4</f>
        <v/>
      </c>
    </row>
    <row r="35">
      <c r="C35" s="15" t="n"/>
      <c r="E35" s="15" t="n"/>
      <c r="F35" s="14" t="n"/>
      <c r="G35" s="13" t="n"/>
      <c r="H35" s="14" t="n"/>
      <c r="I35" s="13" t="n"/>
      <c r="J35" s="14" t="n"/>
      <c r="K35" s="13" t="n"/>
      <c r="L35" s="14" t="n"/>
      <c r="M35" s="16" t="n"/>
      <c r="N35" s="14" t="n"/>
      <c r="O35" s="16" t="n"/>
      <c r="P35" s="14" t="n"/>
      <c r="Q35" s="17" t="n"/>
      <c r="R35" s="14" t="n"/>
      <c r="S35" s="17" t="n"/>
      <c r="T35" s="14" t="n"/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</cols>
  <sheetData>
    <row r="1" ht="15.6" customHeight="1">
      <c r="A1" s="3" t="inlineStr">
        <is>
          <t>مجموع الفواتير الكلي</t>
        </is>
      </c>
      <c r="B1" s="3" t="inlineStr">
        <is>
          <t>مجموع الدفعات</t>
        </is>
      </c>
      <c r="C1" s="3" t="inlineStr">
        <is>
          <t>مجموع الخصم</t>
        </is>
      </c>
      <c r="D1" s="3" t="inlineStr">
        <is>
          <t>الرصيد المتبقي</t>
        </is>
      </c>
    </row>
    <row r="2" ht="15.6" customHeight="1">
      <c r="A2" s="4" t="n">
        <v>0</v>
      </c>
      <c r="B2" s="4" t="n">
        <v>0</v>
      </c>
      <c r="C2" s="4" t="n">
        <v>0</v>
      </c>
      <c r="D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2026-02-01T01:47:17Z</dcterms:created>
  <dcterms:modified xsi:type="dcterms:W3CDTF">2026-10-18T22:49:27Z</dcterms:modified>
  <cp:lastModifiedBy>احمد هزايمه</cp:lastModifiedBy>
</cp:coreProperties>
</file>